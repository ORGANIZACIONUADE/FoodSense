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Escenarios" sheetId="2" state="visible" r:id="rId4"/>
    <sheet name="Mercado" sheetId="3" state="visible" r:id="rId5"/>
    <sheet name="Sensibilidad" sheetId="4" state="visible" r:id="rId6"/>
    <sheet name="Gráfico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<sst xmlns="http://schemas.openxmlformats.org/spreadsheetml/2006/main" count="64" uniqueCount="54">
  <si>
    <t xml:space="preserve">FoodSense · Supuestos editables</t>
  </si>
  <si>
    <t xml:space="preserve">Variable</t>
  </si>
  <si>
    <t xml:space="preserve">Valor</t>
  </si>
  <si>
    <t xml:space="preserve">Unidad / nota</t>
  </si>
  <si>
    <t xml:space="preserve">Precio mensual Plus</t>
  </si>
  <si>
    <t xml:space="preserve">USD/mes</t>
  </si>
  <si>
    <t xml:space="preserve">Precio anual Plus</t>
  </si>
  <si>
    <t xml:space="preserve">USD/año</t>
  </si>
  <si>
    <t xml:space="preserve">Mezcla anual</t>
  </si>
  <si>
    <t xml:space="preserve">% de suscriptores</t>
  </si>
  <si>
    <t xml:space="preserve">Mezcla mensual</t>
  </si>
  <si>
    <t xml:space="preserve">ARPPU anual combinado</t>
  </si>
  <si>
    <t xml:space="preserve">TAM</t>
  </si>
  <si>
    <t xml:space="preserve">viviendas particulares ocupadas</t>
  </si>
  <si>
    <t xml:space="preserve">Acceso internet urbano</t>
  </si>
  <si>
    <t xml:space="preserve">proxy INDEC</t>
  </si>
  <si>
    <t xml:space="preserve">SAM</t>
  </si>
  <si>
    <t xml:space="preserve">hogares conectados aproximados</t>
  </si>
  <si>
    <t xml:space="preserve">SOM base año 1</t>
  </si>
  <si>
    <t xml:space="preserve">hogares activos promedio</t>
  </si>
  <si>
    <t xml:space="preserve">Celdas verdes: supuestos que pueden editarse. Las fórmulas se recalculan automáticamente.</t>
  </si>
  <si>
    <t xml:space="preserve">Escenarios de facturación anual bruta</t>
  </si>
  <si>
    <t xml:space="preserve">Escenario</t>
  </si>
  <si>
    <t xml:space="preserve">Hogares activos</t>
  </si>
  <si>
    <t xml:space="preserve">Conversión</t>
  </si>
  <si>
    <t xml:space="preserve">Hogares pagos</t>
  </si>
  <si>
    <t xml:space="preserve">ARPPU</t>
  </si>
  <si>
    <t xml:space="preserve">B2C</t>
  </si>
  <si>
    <t xml:space="preserve">Contratos B2B</t>
  </si>
  <si>
    <t xml:space="preserve">Ticket B2B</t>
  </si>
  <si>
    <t xml:space="preserve">B2B</t>
  </si>
  <si>
    <t xml:space="preserve">Total</t>
  </si>
  <si>
    <t xml:space="preserve">Conservador</t>
  </si>
  <si>
    <t xml:space="preserve">Base</t>
  </si>
  <si>
    <t xml:space="preserve">Optimista</t>
  </si>
  <si>
    <t xml:space="preserve">Nota</t>
  </si>
  <si>
    <t xml:space="preserve">Facturación bruta: no descuenta impuestos, costos de pago, infraestructura, IA, soporte ni ventas.</t>
  </si>
  <si>
    <t xml:space="preserve">TAM · SAM · SOM</t>
  </si>
  <si>
    <t xml:space="preserve">Nivel</t>
  </si>
  <si>
    <t xml:space="preserve">Cálculo</t>
  </si>
  <si>
    <t xml:space="preserve">Fuente / limitación</t>
  </si>
  <si>
    <t xml:space="preserve">Viviendas particulares ocupadas</t>
  </si>
  <si>
    <t xml:space="preserve">INDEC, Censo 2022</t>
  </si>
  <si>
    <t xml:space="preserve">TAM × 93,7%</t>
  </si>
  <si>
    <t xml:space="preserve">Proxy: conectividad urbana aplicada al TAM</t>
  </si>
  <si>
    <t xml:space="preserve">SOM</t>
  </si>
  <si>
    <t xml:space="preserve">Meta año 1</t>
  </si>
  <si>
    <t xml:space="preserve">Hipótesis de hogares activos promedio</t>
  </si>
  <si>
    <t xml:space="preserve">SOM / SAM</t>
  </si>
  <si>
    <t xml:space="preserve">Penetración requerida</t>
  </si>
  <si>
    <t xml:space="preserve">Debe revisarse con datos de adquisición</t>
  </si>
  <si>
    <t xml:space="preserve">Sensibilidad B2C: facturación anual según adopción</t>
  </si>
  <si>
    <t xml:space="preserve">La sensibilidad muestra sólo B2C; los contratos B2B se modelan por separado.</t>
  </si>
  <si>
    <t xml:space="preserve">Gráficos vinculados a los escenarios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</si>
</sst>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1B221F"/>
      <name val="Arial"/>
      <family val="2"/>
    </font>
    <font>
      <sz val="10"/>
      <color rgb="FF1B221F"/>
      <name val="Arial"/>
      <family val="2"/>
    </font>
    <font>
      <sz val="9"/>
      <color rgb="FF1F6B43"/>
      <name val="Arial"/>
      <family val="2"/>
    </font>
    <font>
      <b val="true"/>
      <sz val="9"/>
      <color rgb="FF1B221F"/>
      <name val="Arial"/>
      <family val="2"/>
    </font>
    <font>
      <sz val="9"/>
      <color rgb="FF1B221F"/>
      <name val="Arial"/>
      <family val="2"/>
    </font>
    <font>
      <b val="true"/>
      <sz val="10"/>
      <color rgb="FF1F6B43"/>
      <name val="Arial"/>
      <family val="2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6B43"/>
        <bgColor rgb="FF008080"/>
      </patternFill>
    </fill>
    <fill>
      <patternFill patternType="solid">
        <fgColor rgb="FFFFFFFF"/>
        <bgColor rgb="FFF4F3EE"/>
      </patternFill>
    </fill>
    <fill>
      <patternFill patternType="solid">
        <fgColor rgb="FFE5F1E8"/>
        <bgColor rgb="FFF4F3EE"/>
      </patternFill>
    </fill>
    <fill>
      <patternFill patternType="solid">
        <fgColor rgb="FFF4F3EE"/>
        <bgColor rgb="FFE5F1E8"/>
      </patternFill>
    </fill>
    <fill>
      <patternFill patternType="solid">
        <fgColor rgb="FFFBE9D2"/>
        <bgColor rgb="FFF4F3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3"/>
      <rgbColor rgb="FFB3B3B3"/>
      <rgbColor rgb="FF808080"/>
      <rgbColor rgb="FF9999FF"/>
      <rgbColor rgb="FF993366"/>
      <rgbColor rgb="FFF4F3EE"/>
      <rgbColor rgb="FFE5F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1B22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Composición de ingresos por escenario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USD anuales · facturación bruta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B2C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Gráficos!$A$4:$A$6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Gráficos!$B$4:$B$6</c:f>
              <c:numCache>
                <c:formatCode>General</c:formatCode>
                <c:ptCount val="3"/>
                <c:pt idx="0">
                  <c:v>4238.55</c:v>
                </c:pt>
                <c:pt idx="1">
                  <c:v>13563.36</c:v>
                </c:pt>
                <c:pt idx="2">
                  <c:v>50862.6</c:v>
                </c:pt>
              </c:numCache>
            </c:numRef>
          </c:val>
        </c:ser>
        <c:ser>
          <c:idx val="1"/>
          <c:order val="1"/>
          <c:tx>
            <c:strRef>
              <c:f>Gráficos!$C$3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Gráficos!$A$4:$A$6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Gráficos!$C$4:$C$6</c:f>
              <c:numCache>
                <c:formatCode>General</c:formatCode>
                <c:ptCount val="3"/>
                <c:pt idx="0">
                  <c:v>10000</c:v>
                </c:pt>
                <c:pt idx="1">
                  <c:v>30000</c:v>
                </c:pt>
                <c:pt idx="2">
                  <c:v>80000</c:v>
                </c:pt>
              </c:numCache>
            </c:numRef>
          </c:val>
        </c:ser>
        <c:gapWidth val="100"/>
        <c:overlap val="0"/>
        <c:axId val="16015928"/>
        <c:axId val="70985390"/>
      </c:barChart>
      <c:catAx>
        <c:axId val="16015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985390"/>
        <c:crosses val="autoZero"/>
        <c:auto val="1"/>
        <c:lblAlgn val="ctr"/>
        <c:lblOffset val="100"/>
        <c:noMultiLvlLbl val="0"/>
      </c:catAx>
      <c:valAx>
        <c:axId val="709853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015928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360000</xdr:colOff>
      <xdr:row>7</xdr:row>
      <xdr:rowOff>64440</xdr:rowOff>
    </xdr:from>
    <xdr:to>
      <xdr:col>6</xdr:col>
      <xdr:colOff>178920</xdr:colOff>
      <xdr:row>27</xdr:row>
      <xdr:rowOff>52560</xdr:rowOff>
    </xdr:to>
    <xdr:graphicFrame>
      <xdr:nvGraphicFramePr>
        <xdr:cNvPr id="1" name=""/>
        <xdr:cNvGraphicFramePr/>
      </xdr:nvGraphicFramePr>
      <xdr:xfrm>
        <a:off x="360000" y="1260000"/>
        <a:ext cx="62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16.34"/>
    <col collapsed="false" customWidth="true" hidden="false" outlineLevel="0" max="3" min="3" style="0" width="31.67"/>
  </cols>
  <sheetData>
    <row r="1" customFormat="false" ht="17.35" hidden="false" customHeight="true" outlineLevel="0" collapsed="false">
      <c r="A1" s="1" t="s">
        <v>0</v>
      </c>
      <c r="B1" s="1"/>
      <c r="C1" s="1"/>
    </row>
    <row r="3" customFormat="false" ht="12.8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2.8" hidden="false" customHeight="false" outlineLevel="0" collapsed="false">
      <c r="A4" s="3" t="s">
        <v>4</v>
      </c>
      <c r="B4" s="4" t="n">
        <v>2.99</v>
      </c>
      <c r="C4" s="5" t="s">
        <v>5</v>
      </c>
    </row>
    <row r="5" customFormat="false" ht="12.8" hidden="false" customHeight="false" outlineLevel="0" collapsed="false">
      <c r="A5" s="6" t="s">
        <v>6</v>
      </c>
      <c r="B5" s="4" t="n">
        <v>24.99</v>
      </c>
      <c r="C5" s="7" t="s">
        <v>7</v>
      </c>
    </row>
    <row r="6" customFormat="false" ht="12.8" hidden="false" customHeight="false" outlineLevel="0" collapsed="false">
      <c r="A6" s="3" t="s">
        <v>8</v>
      </c>
      <c r="B6" s="8" t="n">
        <v>0.7</v>
      </c>
      <c r="C6" s="5" t="s">
        <v>9</v>
      </c>
    </row>
    <row r="7" customFormat="false" ht="12.8" hidden="false" customHeight="false" outlineLevel="0" collapsed="false">
      <c r="A7" s="6" t="s">
        <v>10</v>
      </c>
      <c r="B7" s="9" t="n">
        <f aca="false">1-B6</f>
        <v>0.3</v>
      </c>
      <c r="C7" s="7" t="s">
        <v>9</v>
      </c>
    </row>
    <row r="8" customFormat="false" ht="12.8" hidden="false" customHeight="false" outlineLevel="0" collapsed="false">
      <c r="A8" s="3" t="s">
        <v>11</v>
      </c>
      <c r="B8" s="5" t="n">
        <f aca="false">B5*B6+B4*12*B7</f>
        <v>28.257</v>
      </c>
      <c r="C8" s="5" t="s">
        <v>7</v>
      </c>
    </row>
    <row r="9" customFormat="false" ht="12.8" hidden="false" customHeight="false" outlineLevel="0" collapsed="false">
      <c r="A9" s="6" t="s">
        <v>12</v>
      </c>
      <c r="B9" s="4" t="n">
        <v>15699016</v>
      </c>
      <c r="C9" s="7" t="s">
        <v>13</v>
      </c>
    </row>
    <row r="10" customFormat="false" ht="12.8" hidden="false" customHeight="false" outlineLevel="0" collapsed="false">
      <c r="A10" s="3" t="s">
        <v>14</v>
      </c>
      <c r="B10" s="8" t="n">
        <v>0.937</v>
      </c>
      <c r="C10" s="5" t="s">
        <v>15</v>
      </c>
    </row>
    <row r="11" customFormat="false" ht="12.8" hidden="false" customHeight="false" outlineLevel="0" collapsed="false">
      <c r="A11" s="6" t="s">
        <v>16</v>
      </c>
      <c r="B11" s="7" t="n">
        <f aca="false">B9*B10</f>
        <v>14709977.992</v>
      </c>
      <c r="C11" s="7" t="s">
        <v>17</v>
      </c>
    </row>
    <row r="12" customFormat="false" ht="12.8" hidden="false" customHeight="false" outlineLevel="0" collapsed="false">
      <c r="A12" s="3" t="s">
        <v>18</v>
      </c>
      <c r="B12" s="4" t="n">
        <v>12000</v>
      </c>
      <c r="C12" s="5" t="s">
        <v>19</v>
      </c>
    </row>
    <row r="14" customFormat="false" ht="12.8" hidden="false" customHeight="true" outlineLevel="0" collapsed="false">
      <c r="A14" s="10" t="s">
        <v>20</v>
      </c>
      <c r="B14" s="10"/>
      <c r="C14" s="10"/>
    </row>
  </sheetData>
  <mergeCells count="2">
    <mergeCell ref="A1:C1"/>
    <mergeCell ref="A14:C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3.28"/>
    <col collapsed="false" customWidth="true" hidden="false" outlineLevel="0" max="3" min="3" style="0" width="11.24"/>
    <col collapsed="false" customWidth="true" hidden="false" outlineLevel="0" max="4" min="4" style="0" width="12.76"/>
    <col collapsed="false" customWidth="true" hidden="false" outlineLevel="0" max="5" min="5" style="0" width="11.24"/>
    <col collapsed="false" customWidth="true" hidden="false" outlineLevel="0" max="6" min="6" style="0" width="13.28"/>
    <col collapsed="false" customWidth="true" hidden="false" outlineLevel="0" max="7" min="7" style="0" width="12.76"/>
    <col collapsed="false" customWidth="true" hidden="false" outlineLevel="0" max="9" min="8" style="0" width="13.28"/>
    <col collapsed="false" customWidth="true" hidden="false" outlineLevel="0" max="10" min="10" style="0" width="14.3"/>
  </cols>
  <sheetData>
    <row r="1" customFormat="false" ht="17.3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</row>
    <row r="4" customFormat="false" ht="12.8" hidden="false" customHeight="false" outlineLevel="0" collapsed="false">
      <c r="A4" s="3" t="s">
        <v>32</v>
      </c>
      <c r="B4" s="5" t="n">
        <v>5000</v>
      </c>
      <c r="C4" s="11" t="n">
        <v>0.03</v>
      </c>
      <c r="D4" s="5" t="n">
        <f aca="false">B4*C4</f>
        <v>150</v>
      </c>
      <c r="E4" s="5" t="n">
        <f aca="false">Supuestos!B8</f>
        <v>28.257</v>
      </c>
      <c r="F4" s="5" t="n">
        <f aca="false">D4*E4</f>
        <v>4238.55</v>
      </c>
      <c r="G4" s="5" t="n">
        <v>1</v>
      </c>
      <c r="H4" s="5" t="n">
        <v>10000</v>
      </c>
      <c r="I4" s="5" t="n">
        <f aca="false">G4*H4</f>
        <v>10000</v>
      </c>
      <c r="J4" s="3" t="n">
        <f aca="false">F4+I4</f>
        <v>14238.55</v>
      </c>
    </row>
    <row r="5" customFormat="false" ht="12.8" hidden="false" customHeight="false" outlineLevel="0" collapsed="false">
      <c r="A5" s="6" t="s">
        <v>33</v>
      </c>
      <c r="B5" s="7" t="n">
        <v>12000</v>
      </c>
      <c r="C5" s="9" t="n">
        <v>0.04</v>
      </c>
      <c r="D5" s="7" t="n">
        <f aca="false">B5*C5</f>
        <v>480</v>
      </c>
      <c r="E5" s="7" t="n">
        <f aca="false">Supuestos!B8</f>
        <v>28.257</v>
      </c>
      <c r="F5" s="7" t="n">
        <f aca="false">D5*E5</f>
        <v>13563.36</v>
      </c>
      <c r="G5" s="7" t="n">
        <v>2</v>
      </c>
      <c r="H5" s="7" t="n">
        <v>15000</v>
      </c>
      <c r="I5" s="7" t="n">
        <f aca="false">G5*H5</f>
        <v>30000</v>
      </c>
      <c r="J5" s="6" t="n">
        <f aca="false">F5+I5</f>
        <v>43563.36</v>
      </c>
    </row>
    <row r="6" customFormat="false" ht="12.8" hidden="false" customHeight="false" outlineLevel="0" collapsed="false">
      <c r="A6" s="3" t="s">
        <v>34</v>
      </c>
      <c r="B6" s="5" t="n">
        <v>30000</v>
      </c>
      <c r="C6" s="11" t="n">
        <v>0.06</v>
      </c>
      <c r="D6" s="5" t="n">
        <f aca="false">B6*C6</f>
        <v>1800</v>
      </c>
      <c r="E6" s="5" t="n">
        <f aca="false">Supuestos!B8</f>
        <v>28.257</v>
      </c>
      <c r="F6" s="5" t="n">
        <f aca="false">D6*E6</f>
        <v>50862.6</v>
      </c>
      <c r="G6" s="5" t="n">
        <v>4</v>
      </c>
      <c r="H6" s="5" t="n">
        <v>20000</v>
      </c>
      <c r="I6" s="5" t="n">
        <f aca="false">G6*H6</f>
        <v>80000</v>
      </c>
      <c r="J6" s="3" t="n">
        <f aca="false">F6+I6</f>
        <v>130862.6</v>
      </c>
    </row>
    <row r="8" customFormat="false" ht="12.8" hidden="false" customHeight="true" outlineLevel="0" collapsed="false">
      <c r="A8" s="12" t="s">
        <v>35</v>
      </c>
      <c r="B8" s="13" t="s">
        <v>36</v>
      </c>
      <c r="C8" s="13"/>
      <c r="D8" s="13"/>
      <c r="E8" s="13"/>
      <c r="F8" s="13"/>
      <c r="G8" s="13"/>
      <c r="H8" s="13"/>
      <c r="I8" s="13"/>
      <c r="J8" s="13"/>
    </row>
  </sheetData>
  <mergeCells count="2">
    <mergeCell ref="A1:J1"/>
    <mergeCell ref="B8:J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15.32"/>
    <col collapsed="false" customWidth="true" hidden="false" outlineLevel="0" max="3" min="3" style="0" width="23.49"/>
    <col collapsed="false" customWidth="true" hidden="false" outlineLevel="0" max="4" min="4" style="0" width="36.77"/>
  </cols>
  <sheetData>
    <row r="1" customFormat="false" ht="17.35" hidden="false" customHeight="true" outlineLevel="0" collapsed="false">
      <c r="A1" s="1" t="s">
        <v>37</v>
      </c>
      <c r="B1" s="1"/>
      <c r="C1" s="1"/>
      <c r="D1" s="1"/>
    </row>
    <row r="3" customFormat="false" ht="12.8" hidden="false" customHeight="false" outlineLevel="0" collapsed="false">
      <c r="A3" s="2" t="s">
        <v>38</v>
      </c>
      <c r="B3" s="2" t="s">
        <v>2</v>
      </c>
      <c r="C3" s="2" t="s">
        <v>39</v>
      </c>
      <c r="D3" s="2" t="s">
        <v>40</v>
      </c>
    </row>
    <row r="4" customFormat="false" ht="23.85" hidden="false" customHeight="false" outlineLevel="0" collapsed="false">
      <c r="A4" s="3" t="s">
        <v>12</v>
      </c>
      <c r="B4" s="5" t="n">
        <f aca="false">Supuestos!B9</f>
        <v>15699016</v>
      </c>
      <c r="C4" s="5" t="s">
        <v>41</v>
      </c>
      <c r="D4" s="5" t="s">
        <v>42</v>
      </c>
    </row>
    <row r="5" customFormat="false" ht="12.8" hidden="false" customHeight="false" outlineLevel="0" collapsed="false">
      <c r="A5" s="6" t="s">
        <v>16</v>
      </c>
      <c r="B5" s="7" t="n">
        <f aca="false">Supuestos!B11</f>
        <v>14709977.992</v>
      </c>
      <c r="C5" s="7" t="s">
        <v>43</v>
      </c>
      <c r="D5" s="7" t="s">
        <v>44</v>
      </c>
    </row>
    <row r="6" customFormat="false" ht="12.8" hidden="false" customHeight="false" outlineLevel="0" collapsed="false">
      <c r="A6" s="3" t="s">
        <v>45</v>
      </c>
      <c r="B6" s="5" t="n">
        <f aca="false">Supuestos!B12</f>
        <v>12000</v>
      </c>
      <c r="C6" s="5" t="s">
        <v>46</v>
      </c>
      <c r="D6" s="5" t="s">
        <v>47</v>
      </c>
    </row>
    <row r="7" customFormat="false" ht="12.8" hidden="false" customHeight="false" outlineLevel="0" collapsed="false">
      <c r="A7" s="6" t="s">
        <v>48</v>
      </c>
      <c r="B7" s="9" t="n">
        <f aca="false">B6/B5</f>
        <v>0.000815772804454649</v>
      </c>
      <c r="C7" s="7" t="s">
        <v>49</v>
      </c>
      <c r="D7" s="7" t="s">
        <v>50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4"/>
    <col collapsed="false" customWidth="true" hidden="false" outlineLevel="0" max="8" min="2" style="0" width="12.26"/>
  </cols>
  <sheetData>
    <row r="1" customFormat="false" ht="17.3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</row>
    <row r="3" customFormat="false" ht="12.8" hidden="false" customHeight="false" outlineLevel="0" collapsed="false">
      <c r="A3" s="2" t="s">
        <v>23</v>
      </c>
      <c r="B3" s="14" t="n">
        <v>0.02</v>
      </c>
      <c r="C3" s="14" t="n">
        <v>0.03</v>
      </c>
      <c r="D3" s="14" t="n">
        <v>0.04</v>
      </c>
      <c r="E3" s="14" t="n">
        <v>0.05</v>
      </c>
      <c r="F3" s="14" t="n">
        <v>0.06</v>
      </c>
      <c r="G3" s="14" t="n">
        <v>0.07</v>
      </c>
      <c r="H3" s="14" t="n">
        <v>0.08</v>
      </c>
    </row>
    <row r="4" customFormat="false" ht="12.8" hidden="false" customHeight="false" outlineLevel="0" collapsed="false">
      <c r="A4" s="15" t="n">
        <v>5000</v>
      </c>
      <c r="B4" s="5" t="n">
        <f aca="false">$A4*B$3*Supuestos!$B$8</f>
        <v>2825.7</v>
      </c>
      <c r="C4" s="5" t="n">
        <f aca="false">$A4*C$3*Supuestos!$B$8</f>
        <v>4238.55</v>
      </c>
      <c r="D4" s="5" t="n">
        <f aca="false">$A4*D$3*Supuestos!$B$8</f>
        <v>5651.4</v>
      </c>
      <c r="E4" s="5" t="n">
        <f aca="false">$A4*E$3*Supuestos!$B$8</f>
        <v>7064.25</v>
      </c>
      <c r="F4" s="5" t="n">
        <f aca="false">$A4*F$3*Supuestos!$B$8</f>
        <v>8477.1</v>
      </c>
      <c r="G4" s="5" t="n">
        <f aca="false">$A4*G$3*Supuestos!$B$8</f>
        <v>9889.95</v>
      </c>
      <c r="H4" s="5" t="n">
        <f aca="false">$A4*H$3*Supuestos!$B$8</f>
        <v>11302.8</v>
      </c>
    </row>
    <row r="5" customFormat="false" ht="12.8" hidden="false" customHeight="false" outlineLevel="0" collapsed="false">
      <c r="A5" s="15" t="n">
        <v>12000</v>
      </c>
      <c r="B5" s="7" t="n">
        <f aca="false">$A5*B$3*Supuestos!$B$8</f>
        <v>6781.68</v>
      </c>
      <c r="C5" s="7" t="n">
        <f aca="false">$A5*C$3*Supuestos!$B$8</f>
        <v>10172.52</v>
      </c>
      <c r="D5" s="7" t="n">
        <f aca="false">$A5*D$3*Supuestos!$B$8</f>
        <v>13563.36</v>
      </c>
      <c r="E5" s="7" t="n">
        <f aca="false">$A5*E$3*Supuestos!$B$8</f>
        <v>16954.2</v>
      </c>
      <c r="F5" s="7" t="n">
        <f aca="false">$A5*F$3*Supuestos!$B$8</f>
        <v>20345.04</v>
      </c>
      <c r="G5" s="7" t="n">
        <f aca="false">$A5*G$3*Supuestos!$B$8</f>
        <v>23735.88</v>
      </c>
      <c r="H5" s="7" t="n">
        <f aca="false">$A5*H$3*Supuestos!$B$8</f>
        <v>27126.72</v>
      </c>
    </row>
    <row r="6" customFormat="false" ht="12.8" hidden="false" customHeight="false" outlineLevel="0" collapsed="false">
      <c r="A6" s="15" t="n">
        <v>30000</v>
      </c>
      <c r="B6" s="5" t="n">
        <f aca="false">$A6*B$3*Supuestos!$B$8</f>
        <v>16954.2</v>
      </c>
      <c r="C6" s="5" t="n">
        <f aca="false">$A6*C$3*Supuestos!$B$8</f>
        <v>25431.3</v>
      </c>
      <c r="D6" s="5" t="n">
        <f aca="false">$A6*D$3*Supuestos!$B$8</f>
        <v>33908.4</v>
      </c>
      <c r="E6" s="5" t="n">
        <f aca="false">$A6*E$3*Supuestos!$B$8</f>
        <v>42385.5</v>
      </c>
      <c r="F6" s="5" t="n">
        <f aca="false">$A6*F$3*Supuestos!$B$8</f>
        <v>50862.6</v>
      </c>
      <c r="G6" s="5" t="n">
        <f aca="false">$A6*G$3*Supuestos!$B$8</f>
        <v>59339.7</v>
      </c>
      <c r="H6" s="5" t="n">
        <f aca="false">$A6*H$3*Supuestos!$B$8</f>
        <v>67816.8</v>
      </c>
    </row>
    <row r="7" customFormat="false" ht="12.8" hidden="false" customHeight="false" outlineLevel="0" collapsed="false">
      <c r="A7" s="15" t="n">
        <v>50000</v>
      </c>
      <c r="B7" s="7" t="n">
        <f aca="false">$A7*B$3*Supuestos!$B$8</f>
        <v>28257</v>
      </c>
      <c r="C7" s="7" t="n">
        <f aca="false">$A7*C$3*Supuestos!$B$8</f>
        <v>42385.5</v>
      </c>
      <c r="D7" s="7" t="n">
        <f aca="false">$A7*D$3*Supuestos!$B$8</f>
        <v>56514</v>
      </c>
      <c r="E7" s="7" t="n">
        <f aca="false">$A7*E$3*Supuestos!$B$8</f>
        <v>70642.5</v>
      </c>
      <c r="F7" s="7" t="n">
        <f aca="false">$A7*F$3*Supuestos!$B$8</f>
        <v>84771</v>
      </c>
      <c r="G7" s="7" t="n">
        <f aca="false">$A7*G$3*Supuestos!$B$8</f>
        <v>98899.5</v>
      </c>
      <c r="H7" s="7" t="n">
        <f aca="false">$A7*H$3*Supuestos!$B$8</f>
        <v>113028</v>
      </c>
    </row>
    <row r="10" customFormat="false" ht="12.8" hidden="false" customHeight="true" outlineLevel="0" collapsed="false">
      <c r="A10" s="13" t="s">
        <v>52</v>
      </c>
      <c r="B10" s="13"/>
      <c r="C10" s="13"/>
      <c r="D10" s="13"/>
      <c r="E10" s="13"/>
      <c r="F10" s="13"/>
      <c r="G10" s="13"/>
      <c r="H10" s="13"/>
    </row>
  </sheetData>
  <mergeCells count="2">
    <mergeCell ref="A1:H1"/>
    <mergeCell ref="A10:H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1" style="0" width="15.32"/>
  </cols>
  <sheetData>
    <row r="1" customFormat="false" ht="17.35" hidden="false" customHeight="true" outlineLevel="0" collapsed="false">
      <c r="A1" s="1" t="s">
        <v>53</v>
      </c>
      <c r="B1" s="1"/>
      <c r="C1" s="1"/>
      <c r="D1" s="1"/>
      <c r="E1" s="1"/>
      <c r="F1" s="1"/>
    </row>
    <row r="3" customFormat="false" ht="12.8" hidden="false" customHeight="false" outlineLevel="0" collapsed="false">
      <c r="A3" s="2" t="s">
        <v>22</v>
      </c>
      <c r="B3" s="2" t="s">
        <v>27</v>
      </c>
      <c r="C3" s="2" t="s">
        <v>30</v>
      </c>
      <c r="D3" s="2" t="s">
        <v>31</v>
      </c>
    </row>
    <row r="4" customFormat="false" ht="12.8" hidden="false" customHeight="false" outlineLevel="0" collapsed="false">
      <c r="A4" s="16" t="str">
        <f aca="false">Escenarios!A4</f>
        <v>Conservador</v>
      </c>
      <c r="B4" s="17" t="n">
        <f aca="false">Escenarios!F4</f>
        <v>4238.55</v>
      </c>
      <c r="C4" s="17" t="n">
        <f aca="false">Escenarios!I4</f>
        <v>10000</v>
      </c>
      <c r="D4" s="17" t="n">
        <f aca="false">Escenarios!J4</f>
        <v>14238.55</v>
      </c>
    </row>
    <row r="5" customFormat="false" ht="12.8" hidden="false" customHeight="false" outlineLevel="0" collapsed="false">
      <c r="A5" s="16" t="str">
        <f aca="false">Escenarios!A5</f>
        <v>Base</v>
      </c>
      <c r="B5" s="17" t="n">
        <f aca="false">Escenarios!F5</f>
        <v>13563.36</v>
      </c>
      <c r="C5" s="17" t="n">
        <f aca="false">Escenarios!I5</f>
        <v>30000</v>
      </c>
      <c r="D5" s="17" t="n">
        <f aca="false">Escenarios!J5</f>
        <v>43563.36</v>
      </c>
    </row>
    <row r="6" customFormat="false" ht="12.8" hidden="false" customHeight="false" outlineLevel="0" collapsed="false">
      <c r="A6" s="16" t="str">
        <f aca="false">Escenarios!A6</f>
        <v>Optimista</v>
      </c>
      <c r="B6" s="17" t="n">
        <f aca="false">Escenarios!F6</f>
        <v>50862.6</v>
      </c>
      <c r="C6" s="17" t="n">
        <f aca="false">Escenarios!I6</f>
        <v>80000</v>
      </c>
      <c r="D6" s="17" t="n">
        <f aca="false">Escenarios!J6</f>
        <v>130862.6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2026-06-29T21:13:35Z</dcterms:created>
  <dc:creator/>
  <dc:description/>
  <dc:language>en-US</dc:language>
  <cp:lastModifiedBy/>
  <dcterms:modified xsi:type="dcterms:W3CDTF">2026-06-29T21:13:36Z</dcterms:modified>
  <cp:revision>1</cp:revision>
  <dc:subject/>
  <dc:title/>
</cp:coreProperties>
</file>